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7695" windowHeight="3660"/>
  </bookViews>
  <sheets>
    <sheet name="dataset ubah" sheetId="3" r:id="rId1"/>
  </sheets>
  <definedNames>
    <definedName name="_xlnm._FilterDatabase" localSheetId="0" hidden="1">'dataset ubah'!$D$1:$D$63</definedName>
  </definedNames>
  <calcPr calcId="162913"/>
</workbook>
</file>

<file path=xl/calcChain.xml><?xml version="1.0" encoding="utf-8"?>
<calcChain xmlns="http://schemas.openxmlformats.org/spreadsheetml/2006/main">
  <c r="I2" i="3" l="1"/>
  <c r="I12" i="3" l="1"/>
  <c r="I6" i="3"/>
  <c r="I3" i="3"/>
  <c r="I4" i="3"/>
  <c r="I5" i="3"/>
  <c r="I7" i="3"/>
  <c r="I8" i="3"/>
  <c r="I9" i="3"/>
  <c r="I10" i="3"/>
  <c r="I11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</calcChain>
</file>

<file path=xl/sharedStrings.xml><?xml version="1.0" encoding="utf-8"?>
<sst xmlns="http://schemas.openxmlformats.org/spreadsheetml/2006/main" count="180" uniqueCount="104">
  <si>
    <t>NO</t>
  </si>
  <si>
    <t>KECAMATAN</t>
  </si>
  <si>
    <t>PUSKESMAS</t>
  </si>
  <si>
    <t>KASUS KONFIRMASI</t>
  </si>
  <si>
    <t>SEMBUH</t>
  </si>
  <si>
    <t>MENINGGAL</t>
  </si>
  <si>
    <t>CILEUNYI</t>
  </si>
  <si>
    <t>1    CILEUNYI</t>
  </si>
  <si>
    <t>-</t>
  </si>
  <si>
    <t>2    CINUNUK</t>
  </si>
  <si>
    <t>3    CIBIRU HILIR</t>
  </si>
  <si>
    <t>CIMENYAN</t>
  </si>
  <si>
    <t>4    CIMENYAN</t>
  </si>
  <si>
    <t>5    CIBEUNYING</t>
  </si>
  <si>
    <t>CILENGKRANG</t>
  </si>
  <si>
    <t>6    CILENGKRANG</t>
  </si>
  <si>
    <t>BOJONGSOANG</t>
  </si>
  <si>
    <t>7    BOJONGSOANG</t>
  </si>
  <si>
    <t>MARGAHAYU</t>
  </si>
  <si>
    <t>8    BIHBUL</t>
  </si>
  <si>
    <t>9    MARGAHAYU SELATAN</t>
  </si>
  <si>
    <t>MARGAASIH</t>
  </si>
  <si>
    <t>10   MARGAASIH</t>
  </si>
  <si>
    <t>11   RAHAYU</t>
  </si>
  <si>
    <t>KATAPANG</t>
  </si>
  <si>
    <t>12   KATAPANG</t>
  </si>
  <si>
    <t>13   SANKANHURIP</t>
  </si>
  <si>
    <t>DAYEUHKOLOT</t>
  </si>
  <si>
    <t>14   DAYEUHKOLOT</t>
  </si>
  <si>
    <t>15   CANGKUANG</t>
  </si>
  <si>
    <t>BANJARAN</t>
  </si>
  <si>
    <t>16   BANJARAN KOTA</t>
  </si>
  <si>
    <t>17   KIANGROKE</t>
  </si>
  <si>
    <t>PAMEUNGPEUK</t>
  </si>
  <si>
    <t>18   PAMEUNGPEUK</t>
  </si>
  <si>
    <t>PANGALENGAN</t>
  </si>
  <si>
    <t>19   PANGALENGAN DTP</t>
  </si>
  <si>
    <t>20   WARNASARI</t>
  </si>
  <si>
    <t>21   SUKAMANAH</t>
  </si>
  <si>
    <t>ARJASARI</t>
  </si>
  <si>
    <t>22   ARJASARI</t>
  </si>
  <si>
    <t>23   BANJARAN DTP</t>
  </si>
  <si>
    <t>CIMAUNG</t>
  </si>
  <si>
    <t>24   CIKALONG</t>
  </si>
  <si>
    <t>25   CIMAUNG</t>
  </si>
  <si>
    <t>CICALENGKA</t>
  </si>
  <si>
    <t>26   CICALENGKA DTP</t>
  </si>
  <si>
    <t>27   SAWAH LEGA</t>
  </si>
  <si>
    <t>NAGREG</t>
  </si>
  <si>
    <t>28   NAGREG</t>
  </si>
  <si>
    <t>CIKANCUNG</t>
  </si>
  <si>
    <t>29   CIKANCUNG</t>
  </si>
  <si>
    <t>30   CILULUK</t>
  </si>
  <si>
    <t>RANCAEKEK</t>
  </si>
  <si>
    <t>31   RANCAEKEK DTP</t>
  </si>
  <si>
    <t>32   LINGGAR</t>
  </si>
  <si>
    <t>33   NANJUNG MEKAR</t>
  </si>
  <si>
    <t>CIPARAY</t>
  </si>
  <si>
    <t>34   CIPARAY DTP</t>
  </si>
  <si>
    <t>35   SUMBERSARI</t>
  </si>
  <si>
    <t>36   PAKUTANDANG</t>
  </si>
  <si>
    <t>PACET</t>
  </si>
  <si>
    <t>37   PACET</t>
  </si>
  <si>
    <t>38   PANCA</t>
  </si>
  <si>
    <t>KERTASARI</t>
  </si>
  <si>
    <t>39   KERTASARI</t>
  </si>
  <si>
    <t>40   SANTOSA</t>
  </si>
  <si>
    <t>BALE ENDAH</t>
  </si>
  <si>
    <t>41   BALEENDAH</t>
  </si>
  <si>
    <t>42   RANCAMAYAR</t>
  </si>
  <si>
    <t>43   JELEKONG</t>
  </si>
  <si>
    <t>MAJALAYA</t>
  </si>
  <si>
    <t>44   MAJALAYA</t>
  </si>
  <si>
    <t>45   CIKARO</t>
  </si>
  <si>
    <t>46   WANGISAGARA</t>
  </si>
  <si>
    <t>SOLOKAN JERUK</t>
  </si>
  <si>
    <t>47   SOLOKAN JERUK</t>
  </si>
  <si>
    <t>48   PADAMUKTI</t>
  </si>
  <si>
    <t>PASEH</t>
  </si>
  <si>
    <t>49   PASEH</t>
  </si>
  <si>
    <t>50   CIPEDES</t>
  </si>
  <si>
    <t>IBUN</t>
  </si>
  <si>
    <t>51   IBUN</t>
  </si>
  <si>
    <t>52   SUDI</t>
  </si>
  <si>
    <t>SOREANG</t>
  </si>
  <si>
    <t>53   SOREANG</t>
  </si>
  <si>
    <t>54   SUKAJADI</t>
  </si>
  <si>
    <t>KUTAWARINGIN</t>
  </si>
  <si>
    <t>55   KOPO</t>
  </si>
  <si>
    <t>56   KUTAWARINGIN</t>
  </si>
  <si>
    <t>PASIRJAMBU</t>
  </si>
  <si>
    <t>57   PASIR JAMBU</t>
  </si>
  <si>
    <t>58   SUGIHMUKTI</t>
  </si>
  <si>
    <t>CIWIDEY</t>
  </si>
  <si>
    <t>59   CIWIDEY</t>
  </si>
  <si>
    <t>60   RAWABOGO</t>
  </si>
  <si>
    <t>RANCABALI</t>
  </si>
  <si>
    <t>61   RANCABALI</t>
  </si>
  <si>
    <t>CANGKUANG</t>
  </si>
  <si>
    <t>62   NAGRAK</t>
  </si>
  <si>
    <r>
      <rPr>
        <b/>
        <sz val="11"/>
        <rFont val="Calibri"/>
        <family val="2"/>
        <scheme val="minor"/>
      </rPr>
      <t>ANGKA
KESEMBUHAN (RR)</t>
    </r>
  </si>
  <si>
    <r>
      <rPr>
        <b/>
        <sz val="11"/>
        <rFont val="Calibri"/>
        <family val="2"/>
        <scheme val="minor"/>
      </rPr>
      <t>ANGKA KEMATIAN
(CFR)</t>
    </r>
  </si>
  <si>
    <t>JUMLAH (KAB. BANDUNG</t>
  </si>
  <si>
    <t>STATUS 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</si>
</sst>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right" vertical="top" shrinkToFit="1"/>
    </xf>
    <xf numFmtId="2" fontId="2" fillId="0" borderId="1" xfId="0" applyNumberFormat="1" applyFont="1" applyFill="1" applyBorder="1" applyAlignment="1">
      <alignment horizontal="right" vertical="top" shrinkToFit="1"/>
    </xf>
    <xf numFmtId="0" fontId="4" fillId="0" borderId="1" xfId="0" applyFont="1" applyFill="1" applyBorder="1" applyAlignment="1">
      <alignment horizontal="right" vertical="top" wrapText="1"/>
    </xf>
    <xf numFmtId="3" fontId="2" fillId="0" borderId="1" xfId="0" applyNumberFormat="1" applyFont="1" applyFill="1" applyBorder="1" applyAlignment="1">
      <alignment horizontal="right" vertical="top" shrinkToFit="1"/>
    </xf>
    <xf numFmtId="0" fontId="4" fillId="0" borderId="2" xfId="0" applyFont="1" applyFill="1" applyBorder="1" applyAlignment="1">
      <alignment horizontal="left" vertical="top" wrapText="1"/>
    </xf>
    <xf numFmtId="1" fontId="2" fillId="0" borderId="2" xfId="0" applyNumberFormat="1" applyFont="1" applyFill="1" applyBorder="1" applyAlignment="1">
      <alignment horizontal="right" vertical="top" shrinkToFit="1"/>
    </xf>
    <xf numFmtId="2" fontId="2" fillId="0" borderId="2" xfId="0" applyNumberFormat="1" applyFont="1" applyFill="1" applyBorder="1" applyAlignment="1">
      <alignment horizontal="right" vertical="top" shrinkToFit="1"/>
    </xf>
    <xf numFmtId="0" fontId="4" fillId="0" borderId="2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right" wrapText="1"/>
    </xf>
    <xf numFmtId="0" fontId="2" fillId="0" borderId="2" xfId="0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left" vertical="top" wrapText="1"/>
    </xf>
    <xf numFmtId="1" fontId="2" fillId="0" borderId="2" xfId="0" applyNumberFormat="1" applyFont="1" applyFill="1" applyBorder="1" applyAlignment="1">
      <alignment horizontal="right" vertical="top" shrinkToFit="1"/>
    </xf>
    <xf numFmtId="0" fontId="2" fillId="0" borderId="2" xfId="0" applyFont="1" applyFill="1" applyBorder="1" applyAlignment="1">
      <alignment horizontal="right" vertical="center" wrapText="1"/>
    </xf>
    <xf numFmtId="2" fontId="2" fillId="0" borderId="2" xfId="0" applyNumberFormat="1" applyFont="1" applyFill="1" applyBorder="1" applyAlignment="1">
      <alignment horizontal="right" vertical="top" shrinkToFit="1"/>
    </xf>
    <xf numFmtId="3" fontId="2" fillId="0" borderId="3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top"/>
    </xf>
    <xf numFmtId="0" fontId="4" fillId="0" borderId="6" xfId="0" applyFont="1" applyFill="1" applyBorder="1" applyAlignment="1">
      <alignment vertical="top" wrapText="1"/>
    </xf>
    <xf numFmtId="0" fontId="4" fillId="0" borderId="7" xfId="0" applyFont="1" applyFill="1" applyBorder="1" applyAlignment="1">
      <alignment vertical="top" wrapText="1"/>
    </xf>
    <xf numFmtId="0" fontId="4" fillId="0" borderId="1" xfId="0" quotePrefix="1" applyFont="1" applyFill="1" applyBorder="1" applyAlignment="1">
      <alignment horizontal="right" vertical="top" wrapText="1"/>
    </xf>
    <xf numFmtId="0" fontId="4" fillId="0" borderId="8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4">
    <dxf>
      <fill>
        <patternFill>
          <bgColor theme="9" tint="0.39994506668294322"/>
        </patternFill>
      </fill>
    </dxf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zoomScale="80" zoomScaleNormal="80" workbookViewId="0">
      <selection activeCell="K44" sqref="K44"/>
    </sheetView>
  </sheetViews>
  <sheetFormatPr defaultRowHeight="12.75" x14ac:dyDescent="0.2"/>
  <cols>
    <col min="2" max="2" width="19.1640625" bestFit="1" customWidth="1"/>
    <col min="3" max="3" width="31.83203125" customWidth="1"/>
    <col min="4" max="4" width="23.1640625" customWidth="1"/>
    <col min="5" max="5" width="15.1640625" customWidth="1"/>
    <col min="6" max="6" width="17.6640625" customWidth="1"/>
    <col min="7" max="7" width="16.83203125" customWidth="1"/>
    <col min="8" max="9" width="21.1640625" customWidth="1"/>
    <col min="10" max="10" width="9.33203125" customWidth="1"/>
    <col min="12" max="12" width="29.5" customWidth="1"/>
  </cols>
  <sheetData>
    <row r="1" spans="1:11" ht="45" x14ac:dyDescent="0.2">
      <c r="A1" s="28" t="s">
        <v>0</v>
      </c>
      <c r="B1" s="25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3" t="s">
        <v>100</v>
      </c>
      <c r="H1" s="23" t="s">
        <v>101</v>
      </c>
      <c r="I1" s="21" t="s">
        <v>103</v>
      </c>
      <c r="J1" s="24"/>
    </row>
    <row r="2" spans="1:11" ht="15" x14ac:dyDescent="0.25">
      <c r="A2" s="29">
        <v>1</v>
      </c>
      <c r="B2" s="30" t="s">
        <v>6</v>
      </c>
      <c r="C2" s="2" t="s">
        <v>7</v>
      </c>
      <c r="D2" s="3">
        <v>462</v>
      </c>
      <c r="E2" s="3">
        <v>462</v>
      </c>
      <c r="F2" s="12">
        <v>0</v>
      </c>
      <c r="G2" s="4">
        <v>100</v>
      </c>
      <c r="H2" s="5" t="s">
        <v>8</v>
      </c>
      <c r="I2" s="32" t="str">
        <f>IF(D2&gt;=800,"TINGGI",IF(D2&gt;=500,"SEDANG",IF(D2&lt;500,"RENDAH","NULL")))</f>
        <v>RENDAH</v>
      </c>
    </row>
    <row r="3" spans="1:11" ht="15" x14ac:dyDescent="0.2">
      <c r="A3" s="29">
        <v>2</v>
      </c>
      <c r="B3" s="30" t="s">
        <v>6</v>
      </c>
      <c r="C3" s="2" t="s">
        <v>9</v>
      </c>
      <c r="D3" s="6">
        <v>1039</v>
      </c>
      <c r="E3" s="6">
        <v>1037</v>
      </c>
      <c r="F3" s="3">
        <v>2</v>
      </c>
      <c r="G3" s="4">
        <v>99.81</v>
      </c>
      <c r="H3" s="4">
        <v>0.19</v>
      </c>
      <c r="I3" s="32" t="str">
        <f t="shared" ref="I3:I63" si="0">IF(D3&gt;=800,"TINGGI",IF(D3&gt;=500,"SEDANG",IF(D3&lt;500,"RENDAH","NULL")))</f>
        <v>TINGGI</v>
      </c>
    </row>
    <row r="4" spans="1:11" ht="15" x14ac:dyDescent="0.25">
      <c r="A4" s="29">
        <v>3</v>
      </c>
      <c r="B4" s="30" t="s">
        <v>6</v>
      </c>
      <c r="C4" s="2" t="s">
        <v>10</v>
      </c>
      <c r="D4" s="3">
        <v>471</v>
      </c>
      <c r="E4" s="3">
        <v>471</v>
      </c>
      <c r="F4" s="12">
        <v>0</v>
      </c>
      <c r="G4" s="4">
        <v>100</v>
      </c>
      <c r="H4" s="5" t="s">
        <v>8</v>
      </c>
      <c r="I4" s="32" t="str">
        <f t="shared" si="0"/>
        <v>RENDAH</v>
      </c>
    </row>
    <row r="5" spans="1:11" ht="15" x14ac:dyDescent="0.2">
      <c r="A5" s="29">
        <v>4</v>
      </c>
      <c r="B5" s="30" t="s">
        <v>11</v>
      </c>
      <c r="C5" s="2" t="s">
        <v>12</v>
      </c>
      <c r="D5" s="3">
        <v>550</v>
      </c>
      <c r="E5" s="3">
        <v>549</v>
      </c>
      <c r="F5" s="3">
        <v>1</v>
      </c>
      <c r="G5" s="4">
        <v>99.82</v>
      </c>
      <c r="H5" s="4">
        <v>0.18</v>
      </c>
      <c r="I5" s="32" t="str">
        <f t="shared" si="0"/>
        <v>SEDANG</v>
      </c>
      <c r="K5" s="11"/>
    </row>
    <row r="6" spans="1:11" ht="15" x14ac:dyDescent="0.2">
      <c r="A6" s="29">
        <v>5</v>
      </c>
      <c r="B6" s="30" t="s">
        <v>11</v>
      </c>
      <c r="C6" s="2" t="s">
        <v>13</v>
      </c>
      <c r="D6" s="6">
        <v>1308</v>
      </c>
      <c r="E6" s="6">
        <v>1307</v>
      </c>
      <c r="F6" s="3">
        <v>1</v>
      </c>
      <c r="G6" s="4">
        <v>99.92</v>
      </c>
      <c r="H6" s="4">
        <v>0.08</v>
      </c>
      <c r="I6" s="32" t="str">
        <f>IF(D6&gt;=800,"TINGGI",IF(D6&gt;=500,"SEDANG",IF(D6&lt;500,"RENDAH","NULL")))</f>
        <v>TINGGI</v>
      </c>
      <c r="K6" s="11"/>
    </row>
    <row r="7" spans="1:11" ht="15" x14ac:dyDescent="0.25">
      <c r="A7" s="29">
        <v>6</v>
      </c>
      <c r="B7" s="26" t="s">
        <v>14</v>
      </c>
      <c r="C7" s="2" t="s">
        <v>15</v>
      </c>
      <c r="D7" s="3">
        <v>656</v>
      </c>
      <c r="E7" s="3">
        <v>656</v>
      </c>
      <c r="F7" s="12">
        <v>0</v>
      </c>
      <c r="G7" s="4">
        <v>100</v>
      </c>
      <c r="H7" s="5" t="s">
        <v>8</v>
      </c>
      <c r="I7" s="32" t="str">
        <f t="shared" si="0"/>
        <v>SEDANG</v>
      </c>
      <c r="K7" s="11"/>
    </row>
    <row r="8" spans="1:11" ht="15" x14ac:dyDescent="0.2">
      <c r="A8" s="29">
        <v>7</v>
      </c>
      <c r="B8" s="26" t="s">
        <v>16</v>
      </c>
      <c r="C8" s="2" t="s">
        <v>17</v>
      </c>
      <c r="D8" s="6">
        <v>1565</v>
      </c>
      <c r="E8" s="6">
        <v>1564</v>
      </c>
      <c r="F8" s="3">
        <v>1</v>
      </c>
      <c r="G8" s="4">
        <v>99.94</v>
      </c>
      <c r="H8" s="4">
        <v>0.06</v>
      </c>
      <c r="I8" s="32" t="str">
        <f t="shared" si="0"/>
        <v>TINGGI</v>
      </c>
      <c r="K8" s="11"/>
    </row>
    <row r="9" spans="1:11" ht="15" x14ac:dyDescent="0.2">
      <c r="A9" s="29">
        <v>8</v>
      </c>
      <c r="B9" s="30" t="s">
        <v>18</v>
      </c>
      <c r="C9" s="2" t="s">
        <v>19</v>
      </c>
      <c r="D9" s="6">
        <v>1723</v>
      </c>
      <c r="E9" s="6">
        <v>1720</v>
      </c>
      <c r="F9" s="3">
        <v>3</v>
      </c>
      <c r="G9" s="4">
        <v>99.83</v>
      </c>
      <c r="H9" s="4">
        <v>0.17</v>
      </c>
      <c r="I9" s="32" t="str">
        <f t="shared" si="0"/>
        <v>TINGGI</v>
      </c>
      <c r="K9" s="11"/>
    </row>
    <row r="10" spans="1:11" ht="15" x14ac:dyDescent="0.25">
      <c r="A10" s="29">
        <v>9</v>
      </c>
      <c r="B10" s="30" t="s">
        <v>18</v>
      </c>
      <c r="C10" s="2" t="s">
        <v>20</v>
      </c>
      <c r="D10" s="3">
        <v>943</v>
      </c>
      <c r="E10" s="3">
        <v>943</v>
      </c>
      <c r="F10" s="12">
        <v>0</v>
      </c>
      <c r="G10" s="4">
        <v>100</v>
      </c>
      <c r="H10" s="5" t="s">
        <v>8</v>
      </c>
      <c r="I10" s="32" t="str">
        <f t="shared" si="0"/>
        <v>TINGGI</v>
      </c>
      <c r="K10" s="11"/>
    </row>
    <row r="11" spans="1:11" ht="15" x14ac:dyDescent="0.25">
      <c r="A11" s="29">
        <v>10</v>
      </c>
      <c r="B11" s="30" t="s">
        <v>21</v>
      </c>
      <c r="C11" s="2" t="s">
        <v>22</v>
      </c>
      <c r="D11" s="3">
        <v>610</v>
      </c>
      <c r="E11" s="3">
        <v>610</v>
      </c>
      <c r="F11" s="12">
        <v>0</v>
      </c>
      <c r="G11" s="4">
        <v>100</v>
      </c>
      <c r="H11" s="5" t="s">
        <v>8</v>
      </c>
      <c r="I11" s="32" t="str">
        <f t="shared" si="0"/>
        <v>SEDANG</v>
      </c>
      <c r="K11" s="11"/>
    </row>
    <row r="12" spans="1:11" ht="15" x14ac:dyDescent="0.2">
      <c r="A12" s="29">
        <v>11</v>
      </c>
      <c r="B12" s="30" t="s">
        <v>21</v>
      </c>
      <c r="C12" s="2" t="s">
        <v>23</v>
      </c>
      <c r="D12" s="6">
        <v>1460</v>
      </c>
      <c r="E12" s="6">
        <v>1459</v>
      </c>
      <c r="F12" s="3">
        <v>1</v>
      </c>
      <c r="G12" s="4">
        <v>99.93</v>
      </c>
      <c r="H12" s="4">
        <v>7.0000000000000007E-2</v>
      </c>
      <c r="I12" s="32" t="str">
        <f>IF(D12&gt;=800,"TINGGI",IF(D12&gt;=500,"SEDANG",IF(D12&lt;500,"RENDAH","NULL")))</f>
        <v>TINGGI</v>
      </c>
      <c r="K12" s="11"/>
    </row>
    <row r="13" spans="1:11" ht="15" x14ac:dyDescent="0.25">
      <c r="A13" s="29">
        <v>12</v>
      </c>
      <c r="B13" s="30" t="s">
        <v>24</v>
      </c>
      <c r="C13" s="2" t="s">
        <v>25</v>
      </c>
      <c r="D13" s="3">
        <v>416</v>
      </c>
      <c r="E13" s="3">
        <v>416</v>
      </c>
      <c r="F13" s="12">
        <v>0</v>
      </c>
      <c r="G13" s="4">
        <v>100</v>
      </c>
      <c r="H13" s="5" t="s">
        <v>8</v>
      </c>
      <c r="I13" s="32" t="str">
        <f t="shared" si="0"/>
        <v>RENDAH</v>
      </c>
      <c r="K13" s="11"/>
    </row>
    <row r="14" spans="1:11" ht="15" x14ac:dyDescent="0.25">
      <c r="A14" s="29">
        <v>13</v>
      </c>
      <c r="B14" s="30" t="s">
        <v>24</v>
      </c>
      <c r="C14" s="2" t="s">
        <v>26</v>
      </c>
      <c r="D14" s="3">
        <v>488</v>
      </c>
      <c r="E14" s="3">
        <v>488</v>
      </c>
      <c r="F14" s="12">
        <v>0</v>
      </c>
      <c r="G14" s="4">
        <v>100</v>
      </c>
      <c r="H14" s="5" t="s">
        <v>8</v>
      </c>
      <c r="I14" s="32" t="str">
        <f t="shared" si="0"/>
        <v>RENDAH</v>
      </c>
      <c r="K14" s="11"/>
    </row>
    <row r="15" spans="1:11" ht="15" x14ac:dyDescent="0.25">
      <c r="A15" s="29">
        <v>14</v>
      </c>
      <c r="B15" s="30" t="s">
        <v>27</v>
      </c>
      <c r="C15" s="2" t="s">
        <v>28</v>
      </c>
      <c r="D15" s="3">
        <v>392</v>
      </c>
      <c r="E15" s="3">
        <v>392</v>
      </c>
      <c r="F15" s="12">
        <v>0</v>
      </c>
      <c r="G15" s="4">
        <v>100</v>
      </c>
      <c r="H15" s="5" t="s">
        <v>8</v>
      </c>
      <c r="I15" s="32" t="str">
        <f t="shared" si="0"/>
        <v>RENDAH</v>
      </c>
      <c r="K15" s="11"/>
    </row>
    <row r="16" spans="1:11" ht="15" x14ac:dyDescent="0.25">
      <c r="A16" s="29">
        <v>15</v>
      </c>
      <c r="B16" s="30" t="s">
        <v>27</v>
      </c>
      <c r="C16" s="2" t="s">
        <v>29</v>
      </c>
      <c r="D16" s="3">
        <v>739</v>
      </c>
      <c r="E16" s="3">
        <v>739</v>
      </c>
      <c r="F16" s="12">
        <v>0</v>
      </c>
      <c r="G16" s="4">
        <v>100</v>
      </c>
      <c r="H16" s="5" t="s">
        <v>8</v>
      </c>
      <c r="I16" s="32" t="str">
        <f t="shared" si="0"/>
        <v>SEDANG</v>
      </c>
      <c r="K16" s="11"/>
    </row>
    <row r="17" spans="1:11" ht="15" x14ac:dyDescent="0.25">
      <c r="A17" s="29">
        <v>16</v>
      </c>
      <c r="B17" s="30" t="s">
        <v>30</v>
      </c>
      <c r="C17" s="2" t="s">
        <v>31</v>
      </c>
      <c r="D17" s="3">
        <v>286</v>
      </c>
      <c r="E17" s="3">
        <v>286</v>
      </c>
      <c r="F17" s="12">
        <v>0</v>
      </c>
      <c r="G17" s="4">
        <v>100</v>
      </c>
      <c r="H17" s="5" t="s">
        <v>8</v>
      </c>
      <c r="I17" s="32" t="str">
        <f t="shared" si="0"/>
        <v>RENDAH</v>
      </c>
      <c r="K17" s="11"/>
    </row>
    <row r="18" spans="1:11" ht="15" x14ac:dyDescent="0.25">
      <c r="A18" s="29">
        <v>17</v>
      </c>
      <c r="B18" s="30" t="s">
        <v>30</v>
      </c>
      <c r="C18" s="2" t="s">
        <v>32</v>
      </c>
      <c r="D18" s="3">
        <v>436</v>
      </c>
      <c r="E18" s="3">
        <v>436</v>
      </c>
      <c r="F18" s="12">
        <v>0</v>
      </c>
      <c r="G18" s="4">
        <v>100</v>
      </c>
      <c r="H18" s="5" t="s">
        <v>8</v>
      </c>
      <c r="I18" s="32" t="str">
        <f t="shared" si="0"/>
        <v>RENDAH</v>
      </c>
      <c r="K18" s="11"/>
    </row>
    <row r="19" spans="1:11" ht="15" x14ac:dyDescent="0.25">
      <c r="A19" s="29">
        <v>18</v>
      </c>
      <c r="B19" s="26" t="s">
        <v>33</v>
      </c>
      <c r="C19" s="2" t="s">
        <v>34</v>
      </c>
      <c r="D19" s="3">
        <v>414</v>
      </c>
      <c r="E19" s="3">
        <v>414</v>
      </c>
      <c r="F19" s="12">
        <v>0</v>
      </c>
      <c r="G19" s="4">
        <v>100</v>
      </c>
      <c r="H19" s="5" t="s">
        <v>8</v>
      </c>
      <c r="I19" s="32" t="str">
        <f t="shared" si="0"/>
        <v>RENDAH</v>
      </c>
    </row>
    <row r="20" spans="1:11" ht="15" x14ac:dyDescent="0.25">
      <c r="A20" s="29">
        <v>19</v>
      </c>
      <c r="B20" s="30" t="s">
        <v>35</v>
      </c>
      <c r="C20" s="2" t="s">
        <v>36</v>
      </c>
      <c r="D20" s="3">
        <v>268</v>
      </c>
      <c r="E20" s="3">
        <v>268</v>
      </c>
      <c r="F20" s="12">
        <v>0</v>
      </c>
      <c r="G20" s="4">
        <v>100</v>
      </c>
      <c r="H20" s="5" t="s">
        <v>8</v>
      </c>
      <c r="I20" s="32" t="str">
        <f t="shared" si="0"/>
        <v>RENDAH</v>
      </c>
    </row>
    <row r="21" spans="1:11" ht="15" x14ac:dyDescent="0.25">
      <c r="A21" s="29">
        <v>20</v>
      </c>
      <c r="B21" s="30" t="s">
        <v>35</v>
      </c>
      <c r="C21" s="2" t="s">
        <v>37</v>
      </c>
      <c r="D21" s="3">
        <v>83</v>
      </c>
      <c r="E21" s="3">
        <v>83</v>
      </c>
      <c r="F21" s="12">
        <v>0</v>
      </c>
      <c r="G21" s="4">
        <v>100</v>
      </c>
      <c r="H21" s="5" t="s">
        <v>8</v>
      </c>
      <c r="I21" s="32" t="str">
        <f t="shared" si="0"/>
        <v>RENDAH</v>
      </c>
    </row>
    <row r="22" spans="1:11" ht="15" x14ac:dyDescent="0.25">
      <c r="A22" s="29">
        <v>21</v>
      </c>
      <c r="B22" s="30" t="s">
        <v>35</v>
      </c>
      <c r="C22" s="2" t="s">
        <v>38</v>
      </c>
      <c r="D22" s="3">
        <v>164</v>
      </c>
      <c r="E22" s="3">
        <v>164</v>
      </c>
      <c r="F22" s="12">
        <v>0</v>
      </c>
      <c r="G22" s="4">
        <v>100</v>
      </c>
      <c r="H22" s="5" t="s">
        <v>8</v>
      </c>
      <c r="I22" s="32" t="str">
        <f t="shared" si="0"/>
        <v>RENDAH</v>
      </c>
    </row>
    <row r="23" spans="1:11" ht="15" x14ac:dyDescent="0.25">
      <c r="A23" s="29">
        <v>22</v>
      </c>
      <c r="B23" s="30" t="s">
        <v>39</v>
      </c>
      <c r="C23" s="2" t="s">
        <v>40</v>
      </c>
      <c r="D23" s="3">
        <v>70</v>
      </c>
      <c r="E23" s="3">
        <v>70</v>
      </c>
      <c r="F23" s="12">
        <v>0</v>
      </c>
      <c r="G23" s="4">
        <v>100</v>
      </c>
      <c r="H23" s="5" t="s">
        <v>8</v>
      </c>
      <c r="I23" s="32" t="str">
        <f t="shared" si="0"/>
        <v>RENDAH</v>
      </c>
    </row>
    <row r="24" spans="1:11" ht="15" x14ac:dyDescent="0.25">
      <c r="A24" s="29">
        <v>23</v>
      </c>
      <c r="B24" s="30" t="s">
        <v>39</v>
      </c>
      <c r="C24" s="2" t="s">
        <v>41</v>
      </c>
      <c r="D24" s="3">
        <v>264</v>
      </c>
      <c r="E24" s="3">
        <v>264</v>
      </c>
      <c r="F24" s="12">
        <v>0</v>
      </c>
      <c r="G24" s="4">
        <v>100</v>
      </c>
      <c r="H24" s="5" t="s">
        <v>8</v>
      </c>
      <c r="I24" s="32" t="str">
        <f t="shared" si="0"/>
        <v>RENDAH</v>
      </c>
    </row>
    <row r="25" spans="1:11" ht="15" x14ac:dyDescent="0.25">
      <c r="A25" s="29">
        <v>24</v>
      </c>
      <c r="B25" s="30" t="s">
        <v>42</v>
      </c>
      <c r="C25" s="2" t="s">
        <v>43</v>
      </c>
      <c r="D25" s="3">
        <v>79</v>
      </c>
      <c r="E25" s="3">
        <v>79</v>
      </c>
      <c r="F25" s="12">
        <v>0</v>
      </c>
      <c r="G25" s="4">
        <v>100</v>
      </c>
      <c r="H25" s="5" t="s">
        <v>8</v>
      </c>
      <c r="I25" s="32" t="str">
        <f t="shared" si="0"/>
        <v>RENDAH</v>
      </c>
    </row>
    <row r="26" spans="1:11" ht="15" x14ac:dyDescent="0.25">
      <c r="A26" s="29">
        <v>25</v>
      </c>
      <c r="B26" s="31" t="s">
        <v>42</v>
      </c>
      <c r="C26" s="2" t="s">
        <v>44</v>
      </c>
      <c r="D26" s="3">
        <v>174</v>
      </c>
      <c r="E26" s="3">
        <v>174</v>
      </c>
      <c r="F26" s="12">
        <v>0</v>
      </c>
      <c r="G26" s="4">
        <v>100</v>
      </c>
      <c r="H26" s="5" t="s">
        <v>8</v>
      </c>
      <c r="I26" s="32" t="str">
        <f t="shared" si="0"/>
        <v>RENDAH</v>
      </c>
    </row>
    <row r="27" spans="1:11" ht="15" x14ac:dyDescent="0.2">
      <c r="A27" s="29">
        <v>26</v>
      </c>
      <c r="B27" s="30" t="s">
        <v>45</v>
      </c>
      <c r="C27" s="2" t="s">
        <v>46</v>
      </c>
      <c r="D27" s="3">
        <v>384</v>
      </c>
      <c r="E27" s="3">
        <v>382</v>
      </c>
      <c r="F27" s="3">
        <v>2</v>
      </c>
      <c r="G27" s="4">
        <v>99.48</v>
      </c>
      <c r="H27" s="4">
        <v>0.52</v>
      </c>
      <c r="I27" s="32" t="str">
        <f t="shared" si="0"/>
        <v>RENDAH</v>
      </c>
    </row>
    <row r="28" spans="1:11" ht="15" x14ac:dyDescent="0.25">
      <c r="A28" s="29">
        <v>27</v>
      </c>
      <c r="B28" s="30" t="s">
        <v>45</v>
      </c>
      <c r="C28" s="2" t="s">
        <v>47</v>
      </c>
      <c r="D28" s="3">
        <v>270</v>
      </c>
      <c r="E28" s="3">
        <v>270</v>
      </c>
      <c r="F28" s="12">
        <v>0</v>
      </c>
      <c r="G28" s="4">
        <v>100</v>
      </c>
      <c r="H28" s="5" t="s">
        <v>8</v>
      </c>
      <c r="I28" s="32" t="str">
        <f t="shared" si="0"/>
        <v>RENDAH</v>
      </c>
    </row>
    <row r="29" spans="1:11" ht="15" x14ac:dyDescent="0.25">
      <c r="A29" s="29">
        <v>28</v>
      </c>
      <c r="B29" s="26" t="s">
        <v>48</v>
      </c>
      <c r="C29" s="2" t="s">
        <v>49</v>
      </c>
      <c r="D29" s="3">
        <v>243</v>
      </c>
      <c r="E29" s="3">
        <v>243</v>
      </c>
      <c r="F29" s="12">
        <v>0</v>
      </c>
      <c r="G29" s="4">
        <v>100</v>
      </c>
      <c r="H29" s="5" t="s">
        <v>8</v>
      </c>
      <c r="I29" s="32" t="str">
        <f t="shared" si="0"/>
        <v>RENDAH</v>
      </c>
    </row>
    <row r="30" spans="1:11" ht="15" x14ac:dyDescent="0.25">
      <c r="A30" s="29">
        <v>29</v>
      </c>
      <c r="B30" s="30" t="s">
        <v>50</v>
      </c>
      <c r="C30" s="2" t="s">
        <v>51</v>
      </c>
      <c r="D30" s="3">
        <v>215</v>
      </c>
      <c r="E30" s="3">
        <v>215</v>
      </c>
      <c r="F30" s="12">
        <v>0</v>
      </c>
      <c r="G30" s="4">
        <v>100</v>
      </c>
      <c r="H30" s="5" t="s">
        <v>8</v>
      </c>
      <c r="I30" s="32" t="str">
        <f t="shared" si="0"/>
        <v>RENDAH</v>
      </c>
    </row>
    <row r="31" spans="1:11" ht="15" x14ac:dyDescent="0.25">
      <c r="A31" s="29">
        <v>30</v>
      </c>
      <c r="B31" s="30" t="s">
        <v>50</v>
      </c>
      <c r="C31" s="2" t="s">
        <v>52</v>
      </c>
      <c r="D31" s="3">
        <v>73</v>
      </c>
      <c r="E31" s="3">
        <v>73</v>
      </c>
      <c r="F31" s="12">
        <v>0</v>
      </c>
      <c r="G31" s="4">
        <v>100</v>
      </c>
      <c r="H31" s="5" t="s">
        <v>8</v>
      </c>
      <c r="I31" s="32" t="str">
        <f t="shared" si="0"/>
        <v>RENDAH</v>
      </c>
    </row>
    <row r="32" spans="1:11" ht="15" x14ac:dyDescent="0.2">
      <c r="A32" s="29">
        <v>31</v>
      </c>
      <c r="B32" s="30" t="s">
        <v>53</v>
      </c>
      <c r="C32" s="2" t="s">
        <v>54</v>
      </c>
      <c r="D32" s="3">
        <v>700</v>
      </c>
      <c r="E32" s="3">
        <v>698</v>
      </c>
      <c r="F32" s="3">
        <v>2</v>
      </c>
      <c r="G32" s="4">
        <v>99.71</v>
      </c>
      <c r="H32" s="4">
        <v>0.28999999999999998</v>
      </c>
      <c r="I32" s="32" t="str">
        <f t="shared" si="0"/>
        <v>SEDANG</v>
      </c>
    </row>
    <row r="33" spans="1:9" ht="15" x14ac:dyDescent="0.25">
      <c r="A33" s="29">
        <v>32</v>
      </c>
      <c r="B33" s="30" t="s">
        <v>53</v>
      </c>
      <c r="C33" s="2" t="s">
        <v>55</v>
      </c>
      <c r="D33" s="3">
        <v>364</v>
      </c>
      <c r="E33" s="3">
        <v>364</v>
      </c>
      <c r="F33" s="12">
        <v>0</v>
      </c>
      <c r="G33" s="4">
        <v>100</v>
      </c>
      <c r="H33" s="5" t="s">
        <v>8</v>
      </c>
      <c r="I33" s="32" t="str">
        <f t="shared" si="0"/>
        <v>RENDAH</v>
      </c>
    </row>
    <row r="34" spans="1:9" ht="15" x14ac:dyDescent="0.25">
      <c r="A34" s="29">
        <v>33</v>
      </c>
      <c r="B34" s="30" t="s">
        <v>53</v>
      </c>
      <c r="C34" s="2" t="s">
        <v>56</v>
      </c>
      <c r="D34" s="3">
        <v>335</v>
      </c>
      <c r="E34" s="3">
        <v>335</v>
      </c>
      <c r="F34" s="12">
        <v>0</v>
      </c>
      <c r="G34" s="4">
        <v>100</v>
      </c>
      <c r="H34" s="5" t="s">
        <v>8</v>
      </c>
      <c r="I34" s="32" t="str">
        <f t="shared" si="0"/>
        <v>RENDAH</v>
      </c>
    </row>
    <row r="35" spans="1:9" ht="15" x14ac:dyDescent="0.2">
      <c r="A35" s="29">
        <v>34</v>
      </c>
      <c r="B35" s="30" t="s">
        <v>57</v>
      </c>
      <c r="C35" s="2" t="s">
        <v>58</v>
      </c>
      <c r="D35" s="3">
        <v>218</v>
      </c>
      <c r="E35" s="3">
        <v>215</v>
      </c>
      <c r="F35" s="3">
        <v>3</v>
      </c>
      <c r="G35" s="4">
        <v>98.62</v>
      </c>
      <c r="H35" s="4">
        <v>1.38</v>
      </c>
      <c r="I35" s="32" t="str">
        <f t="shared" si="0"/>
        <v>RENDAH</v>
      </c>
    </row>
    <row r="36" spans="1:9" ht="15" x14ac:dyDescent="0.25">
      <c r="A36" s="29">
        <v>35</v>
      </c>
      <c r="B36" s="30" t="s">
        <v>57</v>
      </c>
      <c r="C36" s="2" t="s">
        <v>59</v>
      </c>
      <c r="D36" s="3">
        <v>193</v>
      </c>
      <c r="E36" s="3">
        <v>193</v>
      </c>
      <c r="F36" s="12">
        <v>0</v>
      </c>
      <c r="G36" s="4">
        <v>100</v>
      </c>
      <c r="H36" s="5" t="s">
        <v>8</v>
      </c>
      <c r="I36" s="32" t="str">
        <f t="shared" si="0"/>
        <v>RENDAH</v>
      </c>
    </row>
    <row r="37" spans="1:9" ht="15" x14ac:dyDescent="0.25">
      <c r="A37" s="29">
        <v>36</v>
      </c>
      <c r="B37" s="30" t="s">
        <v>57</v>
      </c>
      <c r="C37" s="7" t="s">
        <v>60</v>
      </c>
      <c r="D37" s="8">
        <v>286</v>
      </c>
      <c r="E37" s="8">
        <v>286</v>
      </c>
      <c r="F37" s="13">
        <v>0</v>
      </c>
      <c r="G37" s="9">
        <v>100</v>
      </c>
      <c r="H37" s="10" t="s">
        <v>8</v>
      </c>
      <c r="I37" s="32" t="str">
        <f t="shared" si="0"/>
        <v>RENDAH</v>
      </c>
    </row>
    <row r="38" spans="1:9" ht="15" x14ac:dyDescent="0.25">
      <c r="A38" s="29">
        <v>37</v>
      </c>
      <c r="B38" s="30" t="s">
        <v>61</v>
      </c>
      <c r="C38" s="2" t="s">
        <v>62</v>
      </c>
      <c r="D38" s="3">
        <v>198</v>
      </c>
      <c r="E38" s="3">
        <v>198</v>
      </c>
      <c r="F38" s="12">
        <v>0</v>
      </c>
      <c r="G38" s="4">
        <v>100</v>
      </c>
      <c r="H38" s="5" t="s">
        <v>8</v>
      </c>
      <c r="I38" s="32" t="str">
        <f t="shared" si="0"/>
        <v>RENDAH</v>
      </c>
    </row>
    <row r="39" spans="1:9" ht="15" x14ac:dyDescent="0.25">
      <c r="A39" s="29">
        <v>38</v>
      </c>
      <c r="B39" s="30" t="s">
        <v>61</v>
      </c>
      <c r="C39" s="2" t="s">
        <v>63</v>
      </c>
      <c r="D39" s="3">
        <v>130</v>
      </c>
      <c r="E39" s="3">
        <v>130</v>
      </c>
      <c r="F39" s="12">
        <v>0</v>
      </c>
      <c r="G39" s="4">
        <v>100</v>
      </c>
      <c r="H39" s="5" t="s">
        <v>8</v>
      </c>
      <c r="I39" s="32" t="str">
        <f t="shared" si="0"/>
        <v>RENDAH</v>
      </c>
    </row>
    <row r="40" spans="1:9" ht="15" x14ac:dyDescent="0.2">
      <c r="A40" s="29">
        <v>39</v>
      </c>
      <c r="B40" s="30" t="s">
        <v>64</v>
      </c>
      <c r="C40" s="2" t="s">
        <v>65</v>
      </c>
      <c r="D40" s="3">
        <v>91</v>
      </c>
      <c r="E40" s="3">
        <v>90</v>
      </c>
      <c r="F40" s="3">
        <v>1</v>
      </c>
      <c r="G40" s="4">
        <v>98.9</v>
      </c>
      <c r="H40" s="4">
        <v>1.1000000000000001</v>
      </c>
      <c r="I40" s="32" t="str">
        <f t="shared" si="0"/>
        <v>RENDAH</v>
      </c>
    </row>
    <row r="41" spans="1:9" ht="15" x14ac:dyDescent="0.25">
      <c r="A41" s="29">
        <v>40</v>
      </c>
      <c r="B41" s="30" t="s">
        <v>64</v>
      </c>
      <c r="C41" s="2" t="s">
        <v>66</v>
      </c>
      <c r="D41" s="3">
        <v>31</v>
      </c>
      <c r="E41" s="3">
        <v>31</v>
      </c>
      <c r="F41" s="12">
        <v>0</v>
      </c>
      <c r="G41" s="4">
        <v>100</v>
      </c>
      <c r="H41" s="5" t="s">
        <v>8</v>
      </c>
      <c r="I41" s="32" t="str">
        <f t="shared" si="0"/>
        <v>RENDAH</v>
      </c>
    </row>
    <row r="42" spans="1:9" ht="15" x14ac:dyDescent="0.2">
      <c r="A42" s="29">
        <v>41</v>
      </c>
      <c r="B42" s="30" t="s">
        <v>67</v>
      </c>
      <c r="C42" s="2" t="s">
        <v>68</v>
      </c>
      <c r="D42" s="3">
        <v>787</v>
      </c>
      <c r="E42" s="3">
        <v>784</v>
      </c>
      <c r="F42" s="3">
        <v>3</v>
      </c>
      <c r="G42" s="4">
        <v>99.62</v>
      </c>
      <c r="H42" s="4">
        <v>0.38</v>
      </c>
      <c r="I42" s="32" t="str">
        <f t="shared" si="0"/>
        <v>SEDANG</v>
      </c>
    </row>
    <row r="43" spans="1:9" ht="15" x14ac:dyDescent="0.2">
      <c r="A43" s="29">
        <v>42</v>
      </c>
      <c r="B43" s="30" t="s">
        <v>67</v>
      </c>
      <c r="C43" s="2" t="s">
        <v>69</v>
      </c>
      <c r="D43" s="3">
        <v>622</v>
      </c>
      <c r="E43" s="3">
        <v>620</v>
      </c>
      <c r="F43" s="3">
        <v>2</v>
      </c>
      <c r="G43" s="4">
        <v>99.68</v>
      </c>
      <c r="H43" s="4">
        <v>0.32</v>
      </c>
      <c r="I43" s="32" t="str">
        <f t="shared" si="0"/>
        <v>SEDANG</v>
      </c>
    </row>
    <row r="44" spans="1:9" ht="15" x14ac:dyDescent="0.2">
      <c r="A44" s="29">
        <v>43</v>
      </c>
      <c r="B44" s="30" t="s">
        <v>67</v>
      </c>
      <c r="C44" s="2" t="s">
        <v>70</v>
      </c>
      <c r="D44" s="6">
        <v>1104</v>
      </c>
      <c r="E44" s="6">
        <v>1104</v>
      </c>
      <c r="F44" s="3">
        <v>1</v>
      </c>
      <c r="G44" s="4">
        <v>100</v>
      </c>
      <c r="H44" s="4">
        <v>0.09</v>
      </c>
      <c r="I44" s="32" t="str">
        <f t="shared" si="0"/>
        <v>TINGGI</v>
      </c>
    </row>
    <row r="45" spans="1:9" ht="15" x14ac:dyDescent="0.2">
      <c r="A45" s="29">
        <v>44</v>
      </c>
      <c r="B45" s="30" t="s">
        <v>71</v>
      </c>
      <c r="C45" s="2" t="s">
        <v>72</v>
      </c>
      <c r="D45" s="3">
        <v>307</v>
      </c>
      <c r="E45" s="3">
        <v>306</v>
      </c>
      <c r="F45" s="3">
        <v>1</v>
      </c>
      <c r="G45" s="4">
        <v>99.67</v>
      </c>
      <c r="H45" s="4">
        <v>0.33</v>
      </c>
      <c r="I45" s="32" t="str">
        <f t="shared" si="0"/>
        <v>RENDAH</v>
      </c>
    </row>
    <row r="46" spans="1:9" ht="15" x14ac:dyDescent="0.2">
      <c r="A46" s="29">
        <v>45</v>
      </c>
      <c r="B46" s="30" t="s">
        <v>71</v>
      </c>
      <c r="C46" s="2" t="s">
        <v>73</v>
      </c>
      <c r="D46" s="3">
        <v>142</v>
      </c>
      <c r="E46" s="3">
        <v>141</v>
      </c>
      <c r="F46" s="3">
        <v>1</v>
      </c>
      <c r="G46" s="4">
        <v>99.3</v>
      </c>
      <c r="H46" s="4">
        <v>0.7</v>
      </c>
      <c r="I46" s="32" t="str">
        <f t="shared" si="0"/>
        <v>RENDAH</v>
      </c>
    </row>
    <row r="47" spans="1:9" ht="15" x14ac:dyDescent="0.25">
      <c r="A47" s="29">
        <v>46</v>
      </c>
      <c r="B47" s="30" t="s">
        <v>71</v>
      </c>
      <c r="C47" s="2" t="s">
        <v>74</v>
      </c>
      <c r="D47" s="3">
        <v>97</v>
      </c>
      <c r="E47" s="3">
        <v>97</v>
      </c>
      <c r="F47" s="12">
        <v>0</v>
      </c>
      <c r="G47" s="4">
        <v>100</v>
      </c>
      <c r="H47" s="5" t="s">
        <v>8</v>
      </c>
      <c r="I47" s="32" t="str">
        <f t="shared" si="0"/>
        <v>RENDAH</v>
      </c>
    </row>
    <row r="48" spans="1:9" ht="15" x14ac:dyDescent="0.25">
      <c r="A48" s="29">
        <v>47</v>
      </c>
      <c r="B48" s="30" t="s">
        <v>75</v>
      </c>
      <c r="C48" s="2" t="s">
        <v>76</v>
      </c>
      <c r="D48" s="3">
        <v>210</v>
      </c>
      <c r="E48" s="3">
        <v>210</v>
      </c>
      <c r="F48" s="12">
        <v>0</v>
      </c>
      <c r="G48" s="4">
        <v>100</v>
      </c>
      <c r="H48" s="5" t="s">
        <v>8</v>
      </c>
      <c r="I48" s="32" t="str">
        <f t="shared" si="0"/>
        <v>RENDAH</v>
      </c>
    </row>
    <row r="49" spans="1:9" ht="15" x14ac:dyDescent="0.25">
      <c r="A49" s="29">
        <v>48</v>
      </c>
      <c r="B49" s="30" t="s">
        <v>75</v>
      </c>
      <c r="C49" s="2" t="s">
        <v>77</v>
      </c>
      <c r="D49" s="3">
        <v>92</v>
      </c>
      <c r="E49" s="3">
        <v>92</v>
      </c>
      <c r="F49" s="12">
        <v>0</v>
      </c>
      <c r="G49" s="4">
        <v>100</v>
      </c>
      <c r="H49" s="5" t="s">
        <v>8</v>
      </c>
      <c r="I49" s="32" t="str">
        <f t="shared" si="0"/>
        <v>RENDAH</v>
      </c>
    </row>
    <row r="50" spans="1:9" ht="15" x14ac:dyDescent="0.25">
      <c r="A50" s="29">
        <v>49</v>
      </c>
      <c r="B50" s="30" t="s">
        <v>78</v>
      </c>
      <c r="C50" s="2" t="s">
        <v>79</v>
      </c>
      <c r="D50" s="3">
        <v>224</v>
      </c>
      <c r="E50" s="3">
        <v>224</v>
      </c>
      <c r="F50" s="12">
        <v>0</v>
      </c>
      <c r="G50" s="4">
        <v>100</v>
      </c>
      <c r="H50" s="5" t="s">
        <v>8</v>
      </c>
      <c r="I50" s="32" t="str">
        <f t="shared" si="0"/>
        <v>RENDAH</v>
      </c>
    </row>
    <row r="51" spans="1:9" ht="15" x14ac:dyDescent="0.25">
      <c r="A51" s="29">
        <v>50</v>
      </c>
      <c r="B51" s="30" t="s">
        <v>78</v>
      </c>
      <c r="C51" s="2" t="s">
        <v>80</v>
      </c>
      <c r="D51" s="3">
        <v>180</v>
      </c>
      <c r="E51" s="3">
        <v>180</v>
      </c>
      <c r="F51" s="12">
        <v>0</v>
      </c>
      <c r="G51" s="4">
        <v>100</v>
      </c>
      <c r="H51" s="5" t="s">
        <v>8</v>
      </c>
      <c r="I51" s="32" t="str">
        <f t="shared" si="0"/>
        <v>RENDAH</v>
      </c>
    </row>
    <row r="52" spans="1:9" ht="15" x14ac:dyDescent="0.25">
      <c r="A52" s="29">
        <v>51</v>
      </c>
      <c r="B52" s="30" t="s">
        <v>81</v>
      </c>
      <c r="C52" s="2" t="s">
        <v>82</v>
      </c>
      <c r="D52" s="3">
        <v>119</v>
      </c>
      <c r="E52" s="3">
        <v>119</v>
      </c>
      <c r="F52" s="12">
        <v>0</v>
      </c>
      <c r="G52" s="4">
        <v>100</v>
      </c>
      <c r="H52" s="5" t="s">
        <v>8</v>
      </c>
      <c r="I52" s="32" t="str">
        <f t="shared" si="0"/>
        <v>RENDAH</v>
      </c>
    </row>
    <row r="53" spans="1:9" ht="15" x14ac:dyDescent="0.25">
      <c r="A53" s="29">
        <v>52</v>
      </c>
      <c r="B53" s="30" t="s">
        <v>81</v>
      </c>
      <c r="C53" s="2" t="s">
        <v>83</v>
      </c>
      <c r="D53" s="3">
        <v>68</v>
      </c>
      <c r="E53" s="3">
        <v>68</v>
      </c>
      <c r="F53" s="12">
        <v>0</v>
      </c>
      <c r="G53" s="4">
        <v>100</v>
      </c>
      <c r="H53" s="5" t="s">
        <v>8</v>
      </c>
      <c r="I53" s="32" t="str">
        <f t="shared" si="0"/>
        <v>RENDAH</v>
      </c>
    </row>
    <row r="54" spans="1:9" ht="15" x14ac:dyDescent="0.25">
      <c r="A54" s="29">
        <v>53</v>
      </c>
      <c r="B54" s="30" t="s">
        <v>84</v>
      </c>
      <c r="C54" s="2" t="s">
        <v>85</v>
      </c>
      <c r="D54" s="3">
        <v>605</v>
      </c>
      <c r="E54" s="3">
        <v>605</v>
      </c>
      <c r="F54" s="12">
        <v>0</v>
      </c>
      <c r="G54" s="4">
        <v>100</v>
      </c>
      <c r="H54" s="5" t="s">
        <v>8</v>
      </c>
      <c r="I54" s="32" t="str">
        <f t="shared" si="0"/>
        <v>SEDANG</v>
      </c>
    </row>
    <row r="55" spans="1:9" ht="15" x14ac:dyDescent="0.2">
      <c r="A55" s="29">
        <v>54</v>
      </c>
      <c r="B55" s="30" t="s">
        <v>84</v>
      </c>
      <c r="C55" s="2" t="s">
        <v>86</v>
      </c>
      <c r="D55" s="3">
        <v>138</v>
      </c>
      <c r="E55" s="3">
        <v>137</v>
      </c>
      <c r="F55" s="3">
        <v>1</v>
      </c>
      <c r="G55" s="4">
        <v>99.28</v>
      </c>
      <c r="H55" s="4">
        <v>0.72</v>
      </c>
      <c r="I55" s="32" t="str">
        <f t="shared" si="0"/>
        <v>RENDAH</v>
      </c>
    </row>
    <row r="56" spans="1:9" ht="15" x14ac:dyDescent="0.25">
      <c r="A56" s="29">
        <v>55</v>
      </c>
      <c r="B56" s="30" t="s">
        <v>87</v>
      </c>
      <c r="C56" s="2" t="s">
        <v>88</v>
      </c>
      <c r="D56" s="3">
        <v>117</v>
      </c>
      <c r="E56" s="3">
        <v>117</v>
      </c>
      <c r="F56" s="12">
        <v>0</v>
      </c>
      <c r="G56" s="4">
        <v>100</v>
      </c>
      <c r="H56" s="5" t="s">
        <v>8</v>
      </c>
      <c r="I56" s="32" t="str">
        <f t="shared" si="0"/>
        <v>RENDAH</v>
      </c>
    </row>
    <row r="57" spans="1:9" ht="15" x14ac:dyDescent="0.25">
      <c r="A57" s="29">
        <v>56</v>
      </c>
      <c r="B57" s="30" t="s">
        <v>87</v>
      </c>
      <c r="C57" s="2" t="s">
        <v>89</v>
      </c>
      <c r="D57" s="3">
        <v>194</v>
      </c>
      <c r="E57" s="3">
        <v>194</v>
      </c>
      <c r="F57" s="12">
        <v>0</v>
      </c>
      <c r="G57" s="4">
        <v>100</v>
      </c>
      <c r="H57" s="5" t="s">
        <v>8</v>
      </c>
      <c r="I57" s="32" t="str">
        <f t="shared" si="0"/>
        <v>RENDAH</v>
      </c>
    </row>
    <row r="58" spans="1:9" ht="15" x14ac:dyDescent="0.25">
      <c r="A58" s="29">
        <v>57</v>
      </c>
      <c r="B58" s="30" t="s">
        <v>90</v>
      </c>
      <c r="C58" s="2" t="s">
        <v>91</v>
      </c>
      <c r="D58" s="3">
        <v>175</v>
      </c>
      <c r="E58" s="3">
        <v>175</v>
      </c>
      <c r="F58" s="12">
        <v>0</v>
      </c>
      <c r="G58" s="4">
        <v>100</v>
      </c>
      <c r="H58" s="5" t="s">
        <v>8</v>
      </c>
      <c r="I58" s="32" t="str">
        <f t="shared" si="0"/>
        <v>RENDAH</v>
      </c>
    </row>
    <row r="59" spans="1:9" ht="15" x14ac:dyDescent="0.25">
      <c r="A59" s="29">
        <v>58</v>
      </c>
      <c r="B59" s="30" t="s">
        <v>90</v>
      </c>
      <c r="C59" s="2" t="s">
        <v>92</v>
      </c>
      <c r="D59" s="3">
        <v>90</v>
      </c>
      <c r="E59" s="3">
        <v>90</v>
      </c>
      <c r="F59" s="12">
        <v>0</v>
      </c>
      <c r="G59" s="4">
        <v>100</v>
      </c>
      <c r="H59" s="5" t="s">
        <v>8</v>
      </c>
      <c r="I59" s="32" t="str">
        <f t="shared" si="0"/>
        <v>RENDAH</v>
      </c>
    </row>
    <row r="60" spans="1:9" ht="15" x14ac:dyDescent="0.25">
      <c r="A60" s="29">
        <v>59</v>
      </c>
      <c r="B60" s="30" t="s">
        <v>93</v>
      </c>
      <c r="C60" s="2" t="s">
        <v>94</v>
      </c>
      <c r="D60" s="3">
        <v>106</v>
      </c>
      <c r="E60" s="3">
        <v>106</v>
      </c>
      <c r="F60" s="12">
        <v>0</v>
      </c>
      <c r="G60" s="4">
        <v>100</v>
      </c>
      <c r="H60" s="5" t="s">
        <v>8</v>
      </c>
      <c r="I60" s="32" t="str">
        <f t="shared" si="0"/>
        <v>RENDAH</v>
      </c>
    </row>
    <row r="61" spans="1:9" ht="15" x14ac:dyDescent="0.2">
      <c r="A61" s="29">
        <v>60</v>
      </c>
      <c r="B61" s="30" t="s">
        <v>93</v>
      </c>
      <c r="C61" s="2" t="s">
        <v>95</v>
      </c>
      <c r="D61" s="3">
        <v>111</v>
      </c>
      <c r="E61" s="3">
        <v>109</v>
      </c>
      <c r="F61" s="3">
        <v>2</v>
      </c>
      <c r="G61" s="4">
        <v>98.2</v>
      </c>
      <c r="H61" s="4">
        <v>1.8</v>
      </c>
      <c r="I61" s="32" t="str">
        <f t="shared" si="0"/>
        <v>RENDAH</v>
      </c>
    </row>
    <row r="62" spans="1:9" ht="15" x14ac:dyDescent="0.25">
      <c r="A62" s="29">
        <v>61</v>
      </c>
      <c r="B62" s="26" t="s">
        <v>96</v>
      </c>
      <c r="C62" s="2" t="s">
        <v>97</v>
      </c>
      <c r="D62" s="3">
        <v>80</v>
      </c>
      <c r="E62" s="3">
        <v>80</v>
      </c>
      <c r="F62" s="12">
        <v>0</v>
      </c>
      <c r="G62" s="4">
        <v>100</v>
      </c>
      <c r="H62" s="5" t="s">
        <v>8</v>
      </c>
      <c r="I62" s="32" t="str">
        <f t="shared" si="0"/>
        <v>RENDAH</v>
      </c>
    </row>
    <row r="63" spans="1:9" ht="15" x14ac:dyDescent="0.2">
      <c r="A63" s="29">
        <v>62</v>
      </c>
      <c r="B63" s="27" t="s">
        <v>98</v>
      </c>
      <c r="C63" s="15" t="s">
        <v>99</v>
      </c>
      <c r="D63" s="16">
        <v>497</v>
      </c>
      <c r="E63" s="16">
        <v>497</v>
      </c>
      <c r="F63" s="17">
        <v>0</v>
      </c>
      <c r="G63" s="18">
        <v>100</v>
      </c>
      <c r="H63" s="14" t="s">
        <v>8</v>
      </c>
      <c r="I63" s="32" t="str">
        <f t="shared" si="0"/>
        <v>RENDAH</v>
      </c>
    </row>
    <row r="64" spans="1:9" ht="15" x14ac:dyDescent="0.2">
      <c r="A64" s="29"/>
      <c r="B64" s="33" t="s">
        <v>102</v>
      </c>
      <c r="C64" s="34"/>
      <c r="D64" s="19">
        <v>24856</v>
      </c>
      <c r="E64" s="6">
        <v>24829</v>
      </c>
      <c r="F64" s="3">
        <v>28</v>
      </c>
      <c r="G64" s="4">
        <v>99.89</v>
      </c>
      <c r="H64" s="4">
        <v>0.11</v>
      </c>
      <c r="I64" s="5" t="s">
        <v>8</v>
      </c>
    </row>
    <row r="65" spans="2:10" ht="15" customHeight="1" x14ac:dyDescent="0.2">
      <c r="B65" s="20"/>
      <c r="C65" s="20"/>
      <c r="J65" s="1"/>
    </row>
    <row r="66" spans="2:10" ht="15" x14ac:dyDescent="0.2">
      <c r="J66" s="1"/>
    </row>
    <row r="67" spans="2:10" ht="15" customHeight="1" x14ac:dyDescent="0.2"/>
    <row r="68" spans="2:10" ht="8.25" customHeight="1" x14ac:dyDescent="0.2"/>
  </sheetData>
  <mergeCells count="1">
    <mergeCell ref="B64:C64"/>
  </mergeCells>
  <conditionalFormatting sqref="C26:I26 B27:I64 B1:I25 I3:I63">
    <cfRule type="containsBlanks" dxfId="3" priority="4">
      <formula>LEN(TRIM(B1))=0</formula>
    </cfRule>
  </conditionalFormatting>
  <conditionalFormatting sqref="B1:I64">
    <cfRule type="containsBlanks" dxfId="2" priority="3">
      <formula>LEN(TRIM(B1))=0</formula>
    </cfRule>
  </conditionalFormatting>
  <conditionalFormatting sqref="A1">
    <cfRule type="containsBlanks" dxfId="1" priority="2">
      <formula>LEN(TRIM(A1))=0</formula>
    </cfRule>
  </conditionalFormatting>
  <conditionalFormatting sqref="A1">
    <cfRule type="containsBlanks" dxfId="0" priority="1">
      <formula>LEN(TRIM(A1))=0</formula>
    </cfRule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ubah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2023-07-07T14:26:18Z</dcterms:created>
  <dcterms:modified xsi:type="dcterms:W3CDTF">2023-07-24T09:47:09Z</dcterms:modified>
</cp:coreProperties>
</file>